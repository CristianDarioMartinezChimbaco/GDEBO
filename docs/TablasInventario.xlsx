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Sharing readOnlyRecommended="0"/>
  <workbookPr/>
  <bookViews>
    <workbookView xWindow="360" yWindow="15" windowWidth="20955" windowHeight="9720" activeTab="1" showHorizontalScroll="1" showVerticalScroll="1"/>
  </bookViews>
  <sheets>
    <sheet name="producto" sheetId="1" state="visible" r:id="rId1"/>
    <sheet name="historico de productos" sheetId="2" state="visible" r:id="rId2"/>
    <sheet name="hitorico de ventas" sheetId="3" state="visible" r:id="rId3"/>
    <sheet name="detalle de la venta" sheetId="4" state="visible" r:id="rId4"/>
    <sheet name="cliente" sheetId="5" state="visible" r:id="rId5"/>
    <sheet name="historico credito" sheetId="6" state="visible" r:id="rId6"/>
  </sheets>
  <definedNames>
    <definedName name="_xlnm._FilterDatabase" localSheetId="0">producto!$A$1:$H$20</definedName>
    <definedName name="_xlnm._FilterDatabase_1" localSheetId="1">'historico de productos'!$A$1:$G$20</definedName>
    <definedName name="_xlnm._FilterDatabase" localSheetId="0" hidden="1">producto!$A$1:$I$20</definedName>
    <definedName name="_xlnm._FilterDatabase" localSheetId="1" hidden="1">'historico de productos'!$A$1:$G$20</definedName>
    <definedName name="_xlnm._FilterDatabase" localSheetId="2" hidden="1">'hitorico de ventas'!$A$1:$F$6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<sst xmlns="http://schemas.openxmlformats.org/spreadsheetml/2006/main" count="122" uniqueCount="122">
  <si>
    <r>
      <rPr>
        <b val="false"/>
        <i val="false"/>
        <sz val="10"/>
        <rFont val="Liberation Sans"/>
      </rPr>
      <t>Id</t>
    </r>
  </si>
  <si>
    <r>
      <rPr>
        <b val="false"/>
        <i val="false"/>
        <sz val="10"/>
        <rFont val="Liberation Sans"/>
      </rPr>
      <t xml:space="preserve">Codigo de barras</t>
    </r>
  </si>
  <si>
    <r>
      <rPr>
        <b val="false"/>
        <i val="false"/>
        <sz val="10"/>
        <rFont val="Liberation Sans"/>
      </rPr>
      <t xml:space="preserve">Nombre del producto</t>
    </r>
  </si>
  <si>
    <r>
      <rPr>
        <b val="false"/>
        <i val="false"/>
        <sz val="10"/>
        <rFont val="Liberation Sans"/>
      </rPr>
      <t>Marca</t>
    </r>
  </si>
  <si>
    <r>
      <rPr>
        <b val="false"/>
        <i val="false"/>
        <sz val="10"/>
        <rFont val="Liberation Sans"/>
      </rPr>
      <t>Cantidad</t>
    </r>
  </si>
  <si>
    <r>
      <rPr>
        <b val="false"/>
        <i val="false"/>
        <sz val="10"/>
        <rFont val="Liberation Sans"/>
      </rPr>
      <t xml:space="preserve">Unidad de medida</t>
    </r>
  </si>
  <si>
    <r>
      <rPr>
        <b val="false"/>
        <i val="false"/>
        <sz val="10"/>
        <rFont val="Liberation Sans"/>
      </rPr>
      <t xml:space="preserve">Unidad agrupaga</t>
    </r>
  </si>
  <si>
    <r>
      <rPr>
        <b val="false"/>
        <i val="false"/>
        <sz val="10"/>
        <rFont val="Liberation Sans"/>
      </rPr>
      <t xml:space="preserve">Precio de venta</t>
    </r>
  </si>
  <si>
    <r>
      <rPr>
        <b val="false"/>
        <i val="false"/>
        <sz val="10"/>
        <rFont val="'Liberation Sans'"/>
      </rPr>
      <t>Existencias</t>
    </r>
  </si>
  <si>
    <r>
      <rPr>
        <b val="false"/>
        <i val="false"/>
        <sz val="10"/>
        <rFont val="Liberation Sans"/>
      </rPr>
      <t>Fréjol</t>
    </r>
  </si>
  <si>
    <r>
      <rPr>
        <b val="false"/>
        <i val="false"/>
        <sz val="10"/>
        <rFont val="Liberation Sans"/>
      </rPr>
      <t xml:space="preserve">Su despensa</t>
    </r>
  </si>
  <si>
    <r>
      <rPr>
        <b val="false"/>
        <i val="false"/>
        <sz val="10"/>
        <rFont val="Liberation Sans"/>
      </rPr>
      <t>kg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</si>
  <si>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</si>
  <si>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>Alverja</t>
    </r>
  </si>
  <si>
    <r>
      <rPr>
        <b val="false"/>
        <i val="false"/>
        <sz val="10"/>
        <rFont val="Liberation Sans"/>
      </rPr>
      <t xml:space="preserve">Su despensa</t>
    </r>
  </si>
  <si>
    <r>
      <rPr>
        <b val="false"/>
        <i val="false"/>
        <sz val="10"/>
        <rFont val="Liberation Sans"/>
      </rPr>
      <t>lb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</si>
  <si>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</si>
  <si>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>Arroz</t>
    </r>
  </si>
  <si>
    <r>
      <rPr>
        <b val="false"/>
        <i val="false"/>
        <sz val="10"/>
        <rFont val="Liberation Sans"/>
      </rPr>
      <t>Boluga</t>
    </r>
  </si>
  <si>
    <r>
      <rPr>
        <b val="false"/>
        <i val="false"/>
        <sz val="10"/>
        <rFont val="Liberation Sans"/>
      </rPr>
      <t>gr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</si>
  <si>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</si>
  <si>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>Arroz</t>
    </r>
  </si>
  <si>
    <r>
      <rPr>
        <b val="false"/>
        <i val="false"/>
        <sz val="10"/>
        <rFont val="Liberation Sans"/>
      </rPr>
      <t>Diana</t>
    </r>
  </si>
  <si>
    <r>
      <rPr>
        <b val="false"/>
        <i val="false"/>
        <sz val="10"/>
        <rFont val="Liberation Sans"/>
      </rPr>
      <t>kg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</si>
  <si>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</si>
  <si>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>Arroz</t>
    </r>
  </si>
  <si>
    <r>
      <rPr>
        <b val="false"/>
        <i val="false"/>
        <sz val="10"/>
        <rFont val="Liberation Sans"/>
      </rPr>
      <t>Diana</t>
    </r>
  </si>
  <si>
    <r>
      <rPr>
        <b val="false"/>
        <i val="false"/>
        <sz val="10"/>
        <rFont val="Liberation Sans"/>
      </rPr>
      <t>@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</si>
  <si>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</si>
  <si>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>Leche</t>
    </r>
  </si>
  <si>
    <r>
      <rPr>
        <b val="false"/>
        <i val="false"/>
        <sz val="10"/>
        <rFont val="Liberation Sans"/>
      </rPr>
      <t xml:space="preserve">Gran Vía</t>
    </r>
  </si>
  <si>
    <r>
      <rPr>
        <b val="false"/>
        <i val="false"/>
        <sz val="10"/>
        <rFont val="Liberation Sans"/>
      </rPr>
      <t>L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</si>
  <si>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</si>
  <si>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>Yogur</t>
    </r>
  </si>
  <si>
    <r>
      <rPr>
        <b val="false"/>
        <i val="false"/>
        <sz val="10"/>
        <rFont val="Liberation Sans"/>
      </rPr>
      <t>Alpina</t>
    </r>
  </si>
  <si>
    <r>
      <rPr>
        <b val="false"/>
        <i val="false"/>
        <sz val="10"/>
        <rFont val="Liberation Sans"/>
      </rPr>
      <t>L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</si>
  <si>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</si>
  <si>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>Leche</t>
    </r>
  </si>
  <si>
    <r>
      <rPr>
        <b val="false"/>
        <i val="false"/>
        <sz val="10"/>
        <rFont val="Liberation Sans"/>
      </rPr>
      <t>Alquería</t>
    </r>
  </si>
  <si>
    <r>
      <rPr>
        <b val="false"/>
        <i val="false"/>
        <sz val="10"/>
        <rFont val="Liberation Sans"/>
      </rPr>
      <t>ml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</si>
  <si>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</si>
  <si>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 xml:space="preserve">Leche * 6</t>
    </r>
  </si>
  <si>
    <r>
      <rPr>
        <b val="false"/>
        <i val="false"/>
        <sz val="10"/>
        <rFont val="Liberation Sans"/>
      </rPr>
      <t>Alquería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</si>
  <si>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</si>
  <si>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 xml:space="preserve">Leche * 12</t>
    </r>
  </si>
  <si>
    <r>
      <rPr>
        <b val="false"/>
        <i val="false"/>
        <sz val="10"/>
        <rFont val="Liberation Sans"/>
      </rPr>
      <t>Alquería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</si>
  <si>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</si>
  <si>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>Cerveza</t>
    </r>
  </si>
  <si>
    <r>
      <rPr>
        <b val="false"/>
        <i val="false"/>
        <sz val="10"/>
        <rFont val="Liberation Sans"/>
      </rPr>
      <t>Poker</t>
    </r>
  </si>
  <si>
    <r>
      <rPr>
        <b val="false"/>
        <i val="false"/>
        <sz val="10"/>
        <rFont val="Liberation Sans"/>
      </rPr>
      <t>ml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</si>
  <si>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</si>
  <si>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 xml:space="preserve">Cerveza Six Pack</t>
    </r>
  </si>
  <si>
    <r>
      <rPr>
        <b val="false"/>
        <i val="false"/>
        <sz val="10"/>
        <rFont val="Liberation Sans"/>
      </rPr>
      <t>Poker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</si>
  <si>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</si>
  <si>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 xml:space="preserve">Cerveza Bandeja</t>
    </r>
  </si>
  <si>
    <r>
      <rPr>
        <b val="false"/>
        <i val="false"/>
        <sz val="10"/>
        <rFont val="Liberation Sans"/>
      </rPr>
      <t>Poker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</si>
  <si>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</si>
  <si>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 xml:space="preserve">Leche * 6 </t>
    </r>
  </si>
  <si>
    <r>
      <rPr>
        <b val="false"/>
        <i val="false"/>
        <sz val="10"/>
        <rFont val="Liberation Sans"/>
      </rPr>
      <t xml:space="preserve">Gran Vía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</si>
  <si>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</si>
  <si>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 xml:space="preserve">Gaseosa negra</t>
    </r>
  </si>
  <si>
    <r>
      <rPr>
        <b val="false"/>
        <i val="false"/>
        <sz val="10"/>
        <rFont val="Liberation Sans"/>
      </rPr>
      <t>Cocacola</t>
    </r>
  </si>
  <si>
    <r>
      <rPr>
        <b val="false"/>
        <i val="false"/>
        <sz val="10"/>
        <rFont val="Liberation Sans"/>
      </rPr>
      <t>ml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</si>
  <si>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</si>
  <si>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 xml:space="preserve">Gaseosa negra</t>
    </r>
  </si>
  <si>
    <r>
      <rPr>
        <b val="false"/>
        <i val="false"/>
        <sz val="10"/>
        <rFont val="Liberation Sans"/>
      </rPr>
      <t>Pepesi</t>
    </r>
  </si>
  <si>
    <r>
      <rPr>
        <b val="false"/>
        <i val="false"/>
        <sz val="10"/>
        <rFont val="Liberation Sans"/>
      </rPr>
      <t>ml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</si>
  <si>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</si>
  <si>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 xml:space="preserve">Gaseosa uva</t>
    </r>
  </si>
  <si>
    <r>
      <rPr>
        <b val="false"/>
        <i val="false"/>
        <sz val="10"/>
        <rFont val="Liberation Sans"/>
      </rPr>
      <t>Postobon</t>
    </r>
  </si>
  <si>
    <r>
      <rPr>
        <b val="false"/>
        <i val="false"/>
        <sz val="10"/>
        <rFont val="Liberation Sans"/>
      </rPr>
      <t>ml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</si>
  <si>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</si>
  <si>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>Chocolatina</t>
    </r>
  </si>
  <si>
    <r>
      <rPr>
        <b val="false"/>
        <i val="false"/>
        <sz val="10"/>
        <rFont val="Liberation Sans"/>
      </rPr>
      <t>Jet</t>
    </r>
  </si>
  <si>
    <r>
      <rPr>
        <b val="false"/>
        <i val="false"/>
        <sz val="10"/>
        <rFont val="Liberation Sans"/>
      </rPr>
      <t>gr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</si>
  <si>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</si>
  <si>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 xml:space="preserve">Corte costilla de res</t>
    </r>
  </si>
  <si>
    <r>
      <rPr>
        <b val="false"/>
        <i val="false"/>
        <sz val="10"/>
        <rFont val="Liberation Sans"/>
      </rPr>
      <t>lb</t>
    </r>
  </si>
  <si>
    <r>
      <rPr>
        <b val="false"/>
        <i val="false"/>
        <sz val="10"/>
        <rFont val="Liberation Sans"/>
      </rPr>
      <t>NULL</t>
    </r>
  </si>
  <si>
    <t>Id</t>
  </si>
  <si>
    <r>
      <rPr>
        <b val="false"/>
        <i val="false"/>
        <sz val="10"/>
        <rFont val="Liberation Sans"/>
      </rPr>
      <t xml:space="preserve">Id de producto</t>
    </r>
  </si>
  <si>
    <r>
      <rPr>
        <b val="false"/>
        <i val="false"/>
        <sz val="10"/>
        <rFont val="Liberation Sans"/>
      </rPr>
      <t>Lote</t>
    </r>
  </si>
  <si>
    <r>
      <rPr>
        <b val="false"/>
        <i val="false"/>
        <sz val="10"/>
        <rFont val="Liberation Sans"/>
      </rPr>
      <t xml:space="preserve">Fecha registro</t>
    </r>
  </si>
  <si>
    <r>
      <rPr>
        <b val="false"/>
        <i val="false"/>
        <sz val="10"/>
        <rFont val="Liberation Sans"/>
      </rPr>
      <t xml:space="preserve">Fecha de vencimiento</t>
    </r>
  </si>
  <si>
    <r>
      <rPr>
        <b val="false"/>
        <i val="false"/>
        <sz val="10"/>
        <rFont val="Liberation Sans"/>
      </rPr>
      <t>Cantidad</t>
    </r>
  </si>
  <si>
    <r>
      <rPr>
        <b val="false"/>
        <i val="false"/>
        <sz val="10"/>
        <rFont val="Liberation Sans"/>
      </rPr>
      <t xml:space="preserve">Precio total compra</t>
    </r>
  </si>
  <si>
    <r>
      <rPr>
        <b val="false"/>
        <i val="false"/>
        <sz val="10"/>
        <rFont val="Liberation Sans"/>
      </rPr>
      <t>Id</t>
    </r>
  </si>
  <si>
    <r>
      <rPr>
        <b val="false"/>
        <i val="false"/>
        <sz val="10"/>
        <rFont val="Liberation Sans"/>
      </rPr>
      <t xml:space="preserve">Id cliente</t>
    </r>
  </si>
  <si>
    <r>
      <rPr>
        <b val="false"/>
        <i val="false"/>
        <sz val="10"/>
        <rFont val="Liberation Sans"/>
      </rPr>
      <t>total</t>
    </r>
  </si>
  <si>
    <r>
      <rPr>
        <b val="false"/>
        <i val="false"/>
        <sz val="10"/>
        <rFont val="Liberation Sans"/>
      </rPr>
      <t>fecha</t>
    </r>
  </si>
  <si>
    <r>
      <rPr>
        <b val="false"/>
        <i val="false"/>
        <sz val="10"/>
        <rFont val="Liberation Sans"/>
      </rPr>
      <t>hora</t>
    </r>
  </si>
  <si>
    <r>
      <rPr>
        <b val="false"/>
        <i val="false"/>
        <sz val="10"/>
        <rFont val="Liberation Sans"/>
      </rPr>
      <t>Pago</t>
    </r>
  </si>
  <si>
    <r>
      <rPr>
        <b val="false"/>
        <i val="false"/>
        <sz val="10"/>
        <rFont val="Liberation Sans"/>
      </rPr>
      <t xml:space="preserve">Credito de la tienda</t>
    </r>
  </si>
  <si>
    <r>
      <rPr>
        <b val="false"/>
        <i val="false"/>
        <sz val="10"/>
        <rFont val="Liberation Sans"/>
      </rPr>
      <t>NULL</t>
    </r>
  </si>
  <si>
    <r>
      <rPr>
        <b val="false"/>
        <i val="false"/>
        <sz val="10"/>
        <rFont val="Liberation Sans"/>
      </rPr>
      <t>Efectivo</t>
    </r>
  </si>
  <si>
    <r>
      <rPr>
        <b val="false"/>
        <i val="false"/>
        <sz val="10"/>
        <rFont val="Liberation Sans"/>
      </rPr>
      <t xml:space="preserve">Credito de la tienda</t>
    </r>
  </si>
  <si>
    <r>
      <rPr>
        <b val="false"/>
        <i val="false"/>
        <sz val="10"/>
        <rFont val="Liberation Sans"/>
      </rPr>
      <t>Transferencia</t>
    </r>
  </si>
  <si>
    <r>
      <rPr>
        <b val="false"/>
        <i val="false"/>
        <sz val="10"/>
        <rFont val="'Liberation Sans'"/>
      </rPr>
      <t>Datafono</t>
    </r>
  </si>
  <si>
    <r>
      <rPr>
        <b val="false"/>
        <i val="false"/>
        <sz val="10"/>
        <rFont val="Liberation Sans"/>
      </rPr>
      <t xml:space="preserve">Id de venta</t>
    </r>
  </si>
  <si>
    <r>
      <rPr>
        <b val="false"/>
        <i val="false"/>
        <sz val="10"/>
        <rFont val="Liberation Sans"/>
      </rPr>
      <t xml:space="preserve">Id de producto</t>
    </r>
  </si>
  <si>
    <r>
      <rPr>
        <b val="false"/>
        <i val="false"/>
        <sz val="10"/>
        <rFont val="Liberation Sans"/>
      </rPr>
      <t>Cantidad</t>
    </r>
  </si>
  <si>
    <r>
      <rPr>
        <b val="false"/>
        <i val="false"/>
        <sz val="10"/>
        <rFont val="Liberation Sans"/>
      </rPr>
      <t xml:space="preserve">Valor Individual</t>
    </r>
  </si>
  <si>
    <r>
      <rPr>
        <b val="false"/>
        <i val="false"/>
        <sz val="10"/>
        <rFont val="Liberation Sans"/>
      </rPr>
      <t>Id</t>
    </r>
  </si>
  <si>
    <r>
      <rPr>
        <b val="false"/>
        <i val="false"/>
        <sz val="10"/>
        <rFont val="Liberation Sans"/>
      </rPr>
      <t>Nombre</t>
    </r>
  </si>
  <si>
    <r>
      <rPr>
        <b val="false"/>
        <i val="false"/>
        <sz val="10"/>
        <rFont val="Liberation Sans"/>
      </rPr>
      <t>Cedula</t>
    </r>
  </si>
  <si>
    <r>
      <rPr>
        <b val="false"/>
        <i val="false"/>
        <sz val="10"/>
        <rFont val="Liberation Sans"/>
      </rPr>
      <t>Correo</t>
    </r>
  </si>
  <si>
    <r>
      <rPr>
        <b val="false"/>
        <i val="false"/>
        <sz val="10"/>
        <rFont val="Liberation Sans"/>
      </rPr>
      <t>Telefono</t>
    </r>
  </si>
  <si>
    <r>
      <rPr>
        <b val="false"/>
        <i val="false"/>
        <sz val="10"/>
        <rFont val="Liberation Sans"/>
      </rPr>
      <t>Saldo</t>
    </r>
  </si>
  <si>
    <r>
      <rPr>
        <b val="false"/>
        <i val="false"/>
        <sz val="10"/>
        <rFont val="Liberation Sans"/>
      </rPr>
      <t xml:space="preserve">Jose Prada</t>
    </r>
  </si>
  <si>
    <r>
      <rPr>
        <b val="false"/>
        <i val="false"/>
        <sz val="10"/>
        <color rgb="FF0000EE"/>
        <rFont val="'Liberation Sans'"/>
      </rPr>
      <t>jp@email.com</t>
    </r>
  </si>
  <si>
    <r>
      <rPr>
        <b val="false"/>
        <i val="false"/>
        <sz val="10"/>
        <rFont val="Liberation Sans"/>
      </rPr>
      <t xml:space="preserve">Taxi Pedro</t>
    </r>
  </si>
  <si>
    <r>
      <rPr>
        <b val="false"/>
        <i val="false"/>
        <sz val="10"/>
        <color rgb="FF0000EE"/>
        <rFont val="'Liberation Sans'"/>
      </rPr>
      <t>tp@email.com</t>
    </r>
  </si>
  <si>
    <r>
      <rPr>
        <b val="false"/>
        <i val="false"/>
        <sz val="10"/>
        <rFont val="Liberation Sans"/>
      </rPr>
      <t>Id</t>
    </r>
  </si>
  <si>
    <r>
      <rPr>
        <b val="false"/>
        <i val="false"/>
        <sz val="10"/>
        <rFont val="Liberation Sans"/>
      </rPr>
      <t xml:space="preserve">Id Cliente</t>
    </r>
  </si>
  <si>
    <r>
      <rPr>
        <b val="false"/>
        <i val="false"/>
        <sz val="10"/>
        <rFont val="Liberation Sans"/>
      </rPr>
      <t xml:space="preserve">Id Venta</t>
    </r>
  </si>
  <si>
    <r>
      <rPr>
        <b val="false"/>
        <i val="false"/>
        <sz val="10"/>
        <rFont val="Liberation Sans"/>
      </rPr>
      <t>Credito</t>
    </r>
  </si>
  <si>
    <r>
      <rPr>
        <b val="false"/>
        <i val="false"/>
        <sz val="10"/>
        <rFont val="Liberation Sans"/>
      </rPr>
      <t>Pago</t>
    </r>
  </si>
  <si>
    <r>
      <rPr>
        <b val="false"/>
        <i val="false"/>
        <sz val="10"/>
        <rFont val="Liberation Sans"/>
      </rPr>
      <t xml:space="preserve">Credito de la tienda</t>
    </r>
  </si>
  <si>
    <r>
      <rPr>
        <b val="false"/>
        <i val="false"/>
        <sz val="10"/>
        <rFont val="Liberation Sans"/>
      </rPr>
      <t>Efectivo</t>
    </r>
  </si>
  <si>
    <r>
      <rPr>
        <b val="false"/>
        <i val="false"/>
        <sz val="10"/>
        <rFont val="Liberation Sans"/>
      </rPr>
      <t>Efectivo</t>
    </r>
  </si>
  <si>
    <r>
      <rPr>
        <b val="false"/>
        <i val="false"/>
        <sz val="10"/>
        <rFont val="Liberation Sans"/>
      </rPr>
      <t>Transferencia</t>
    </r>
  </si>
  <si>
    <r>
      <rPr>
        <b val="false"/>
        <i val="false"/>
        <sz val="10"/>
        <rFont val="'Liberation Sans'"/>
      </rPr>
      <t>Datafono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</si>
</sst>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hh:mm:ss"/>
  </numFmts>
  <fonts count="4">
    <font>
      <b val="0"/>
      <i val="0"/>
      <sz val="10.000000"/>
      <name val="'Liberation Sans'"/>
    </font>
    <font>
      <b val="0"/>
      <i val="0"/>
      <sz val="10.000000"/>
      <name val="Liberation Sans"/>
    </font>
    <font>
      <b val="0"/>
      <i val="0"/>
      <sz val="10.000000"/>
      <color indexed="2"/>
      <name val="Liberation Sans"/>
    </font>
    <font>
      <b val="0"/>
      <i val="0"/>
      <u/>
      <sz val="10.000000"/>
      <color rgb="FF0000EE"/>
      <name val="'Liberation Sans'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 applyProtection="0"/>
    <xf fontId="1" fillId="0" borderId="1" numFmtId="0" xfId="0" applyFont="1" applyBorder="1" applyAlignment="1" applyProtection="0">
      <alignment horizontal="center"/>
    </xf>
    <xf fontId="0" fillId="0" borderId="1" numFmtId="0" xfId="0" applyBorder="1" applyProtection="0"/>
    <xf fontId="1" fillId="0" borderId="0" numFmtId="0" xfId="0" applyFont="1" applyAlignment="1" applyProtection="0">
      <alignment horizontal="center"/>
    </xf>
    <xf fontId="1" fillId="0" borderId="1" numFmtId="0" xfId="0" applyFont="1" applyBorder="1" applyProtection="0"/>
    <xf fontId="1" fillId="0" borderId="1" numFmtId="0" xfId="0" applyFont="1" applyBorder="1" applyAlignment="1" applyProtection="0">
      <alignment horizontal="right"/>
    </xf>
    <xf fontId="1" fillId="0" borderId="0" numFmtId="0" xfId="0" applyFont="1" applyAlignment="1" applyProtection="0">
      <alignment horizontal="right"/>
    </xf>
    <xf fontId="2" fillId="0" borderId="1" numFmtId="0" xfId="0" applyFont="1" applyBorder="1" applyProtection="0"/>
    <xf fontId="1" fillId="0" borderId="1" numFmtId="3" xfId="0" applyNumberFormat="1" applyFont="1" applyBorder="1" applyAlignment="1" applyProtection="0">
      <alignment horizontal="center"/>
    </xf>
    <xf fontId="1" fillId="0" borderId="1" numFmtId="164" xfId="0" applyNumberFormat="1" applyFont="1" applyBorder="1" applyAlignment="1" applyProtection="0">
      <alignment horizontal="center"/>
    </xf>
    <xf fontId="1" fillId="0" borderId="1" numFmtId="164" xfId="0" applyNumberFormat="1" applyFont="1" applyBorder="1" applyProtection="0"/>
    <xf fontId="1" fillId="0" borderId="1" numFmtId="165" xfId="0" applyNumberFormat="1" applyFont="1" applyBorder="1" applyProtection="0"/>
    <xf fontId="3" fillId="0" borderId="1" numFmtId="0" xfId="0" applyFont="1" applyBorder="1" applyProtection="0"/>
  </cellXfs>
  <cellStyles count="1">
    <cellStyle name="Default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mailto:jp@email.com" TargetMode="External"/><Relationship  Id="rId2" Type="http://schemas.openxmlformats.org/officeDocument/2006/relationships/hyperlink" Target="mailto:tp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20" workbookViewId="0">
      <selection activeCell="I3" activeCellId="0" sqref="I3"/>
    </sheetView>
  </sheetViews>
  <sheetFormatPr defaultRowHeight="15"/>
  <cols>
    <col customWidth="1" min="1" max="1" width="3.7044000000000001"/>
    <col customWidth="1" min="2" max="2" width="15.0626"/>
    <col customWidth="1" min="3" max="3" width="17.2774"/>
    <col customWidth="1" min="4" max="4" width="9.7509999999999994"/>
    <col customWidth="1" min="5" max="5" width="8.1536000000000008"/>
    <col customWidth="1" min="6" max="6" width="16.542400000000001"/>
    <col customWidth="1" min="7" max="7" width="15.376200000000001"/>
    <col customWidth="1" min="8" max="8" width="14.837199999999999"/>
    <col customWidth="1" min="9" max="9" width="10.505599999999999"/>
    <col customWidth="1" min="10" max="10" width="12.828200000000001"/>
    <col customWidth="1" min="11" max="11" width="8.5945999999999998"/>
    <col customWidth="1" min="12" max="12" width="17.404800000000002"/>
    <col customWidth="1" min="13" max="1022" width="20.001799999999999"/>
    <col customWidth="1" min="1023" max="1124" width="7.5263999999999998"/>
  </cols>
  <sheetData>
    <row r="1" ht="12.8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</row>
    <row r="2" ht="12.800000000000001" customHeight="1">
      <c r="A2" s="4">
        <v>1</v>
      </c>
      <c r="B2" s="4">
        <v>78545454</v>
      </c>
      <c r="C2" s="1" t="s">
        <v>9</v>
      </c>
      <c r="D2" s="1" t="s">
        <v>10</v>
      </c>
      <c r="E2" s="4">
        <v>10</v>
      </c>
      <c r="F2" s="1" t="s">
        <v>11</v>
      </c>
      <c r="G2" s="4" t="s">
        <v>12</v>
      </c>
      <c r="H2" s="5">
        <v>1350</v>
      </c>
      <c r="I2" s="2">
        <v>15</v>
      </c>
      <c r="J2" s="6"/>
    </row>
    <row r="3" ht="12.800000000000001" customHeight="1">
      <c r="A3" s="4">
        <f t="shared" ref="A3:A10" si="0">A2+1</f>
        <v>2</v>
      </c>
      <c r="B3" s="4">
        <v>78545455</v>
      </c>
      <c r="C3" s="1" t="s">
        <v>13</v>
      </c>
      <c r="D3" s="1" t="s">
        <v>14</v>
      </c>
      <c r="E3" s="4">
        <v>20</v>
      </c>
      <c r="F3" s="1" t="s">
        <v>15</v>
      </c>
      <c r="G3" s="4" t="s">
        <v>16</v>
      </c>
      <c r="H3" s="4">
        <v>2000</v>
      </c>
      <c r="I3" s="2">
        <v>15</v>
      </c>
    </row>
    <row r="4" ht="12.800000000000001" customHeight="1">
      <c r="A4" s="4">
        <f t="shared" si="0"/>
        <v>3</v>
      </c>
      <c r="B4" s="4">
        <v>78545456</v>
      </c>
      <c r="C4" s="1" t="s">
        <v>17</v>
      </c>
      <c r="D4" s="1" t="s">
        <v>18</v>
      </c>
      <c r="E4" s="4">
        <f>30*500</f>
        <v>15000</v>
      </c>
      <c r="F4" s="1" t="s">
        <v>19</v>
      </c>
      <c r="G4" s="4" t="s">
        <v>20</v>
      </c>
      <c r="H4" s="4">
        <v>200</v>
      </c>
      <c r="I4" s="2">
        <v>14</v>
      </c>
    </row>
    <row r="5" ht="12.800000000000001" customHeight="1">
      <c r="A5" s="4">
        <f t="shared" si="0"/>
        <v>4</v>
      </c>
      <c r="B5" s="4">
        <v>78545457</v>
      </c>
      <c r="C5" s="1" t="s">
        <v>21</v>
      </c>
      <c r="D5" s="1" t="s">
        <v>22</v>
      </c>
      <c r="E5" s="4">
        <v>1</v>
      </c>
      <c r="F5" s="1" t="s">
        <v>23</v>
      </c>
      <c r="G5" s="4" t="s">
        <v>24</v>
      </c>
      <c r="H5" s="4">
        <v>5000</v>
      </c>
      <c r="I5" s="2">
        <v>12</v>
      </c>
    </row>
    <row r="6" ht="12.800000000000001" customHeight="1">
      <c r="A6" s="4">
        <f t="shared" si="0"/>
        <v>5</v>
      </c>
      <c r="B6" s="4">
        <v>78545458</v>
      </c>
      <c r="C6" s="1" t="s">
        <v>25</v>
      </c>
      <c r="D6" s="1" t="s">
        <v>26</v>
      </c>
      <c r="E6" s="4">
        <v>1</v>
      </c>
      <c r="F6" s="1" t="s">
        <v>27</v>
      </c>
      <c r="G6" s="4" t="s">
        <v>28</v>
      </c>
      <c r="H6" s="4">
        <v>2500</v>
      </c>
      <c r="I6" s="2">
        <v>26</v>
      </c>
    </row>
    <row r="7" ht="12.800000000000001" customHeight="1">
      <c r="A7" s="4">
        <f t="shared" si="0"/>
        <v>6</v>
      </c>
      <c r="B7" s="4">
        <v>78545459</v>
      </c>
      <c r="C7" s="1" t="s">
        <v>29</v>
      </c>
      <c r="D7" s="1" t="s">
        <v>30</v>
      </c>
      <c r="E7" s="4">
        <v>1</v>
      </c>
      <c r="F7" s="1" t="s">
        <v>31</v>
      </c>
      <c r="G7" s="4" t="s">
        <v>32</v>
      </c>
      <c r="H7" s="4">
        <v>4500</v>
      </c>
      <c r="I7" s="2">
        <v>4</v>
      </c>
    </row>
    <row r="8" ht="12.800000000000001" customHeight="1">
      <c r="A8" s="4">
        <f t="shared" si="0"/>
        <v>7</v>
      </c>
      <c r="B8" s="4">
        <v>78545460</v>
      </c>
      <c r="C8" s="1" t="s">
        <v>33</v>
      </c>
      <c r="D8" s="1" t="s">
        <v>34</v>
      </c>
      <c r="E8" s="4">
        <v>1</v>
      </c>
      <c r="F8" s="1" t="s">
        <v>35</v>
      </c>
      <c r="G8" s="4" t="s">
        <v>36</v>
      </c>
      <c r="H8" s="4">
        <v>8500</v>
      </c>
      <c r="I8" s="2">
        <v>2</v>
      </c>
    </row>
    <row r="9" ht="12.800000000000001" customHeight="1">
      <c r="A9" s="4">
        <f t="shared" si="0"/>
        <v>8</v>
      </c>
      <c r="B9" s="4">
        <v>78545461</v>
      </c>
      <c r="C9" s="1" t="s">
        <v>37</v>
      </c>
      <c r="D9" s="1" t="s">
        <v>38</v>
      </c>
      <c r="E9" s="4">
        <v>1000</v>
      </c>
      <c r="F9" s="1" t="s">
        <v>39</v>
      </c>
      <c r="G9" s="4" t="s">
        <v>40</v>
      </c>
      <c r="H9" s="4">
        <v>4000</v>
      </c>
      <c r="I9" s="2"/>
    </row>
    <row r="10" ht="12.800000000000001" customHeight="1">
      <c r="A10" s="4">
        <f t="shared" si="0"/>
        <v>9</v>
      </c>
      <c r="B10" s="4">
        <v>78545462</v>
      </c>
      <c r="C10" s="1" t="s">
        <v>41</v>
      </c>
      <c r="D10" s="1" t="s">
        <v>42</v>
      </c>
      <c r="E10" s="4">
        <v>6</v>
      </c>
      <c r="F10" s="1" t="s">
        <v>43</v>
      </c>
      <c r="G10" s="5">
        <v>8</v>
      </c>
      <c r="H10" s="4">
        <v>13500</v>
      </c>
      <c r="I10" s="2"/>
    </row>
    <row r="11" ht="12.800000000000001" customHeight="1">
      <c r="A11" s="4">
        <f t="shared" ref="A11:A20" si="1">A10+1</f>
        <v>10</v>
      </c>
      <c r="B11" s="4">
        <v>78545463</v>
      </c>
      <c r="C11" s="1" t="s">
        <v>44</v>
      </c>
      <c r="D11" s="1" t="s">
        <v>45</v>
      </c>
      <c r="E11" s="4">
        <v>12</v>
      </c>
      <c r="F11" s="1" t="s">
        <v>46</v>
      </c>
      <c r="G11" s="5">
        <v>8</v>
      </c>
      <c r="H11" s="4">
        <v>26000</v>
      </c>
      <c r="I11" s="2"/>
    </row>
    <row r="12" ht="12.800000000000001" customHeight="1">
      <c r="A12" s="4">
        <f t="shared" si="1"/>
        <v>11</v>
      </c>
      <c r="B12" s="4">
        <v>78545464</v>
      </c>
      <c r="C12" s="1" t="s">
        <v>47</v>
      </c>
      <c r="D12" s="1" t="s">
        <v>48</v>
      </c>
      <c r="E12" s="4">
        <v>250</v>
      </c>
      <c r="F12" s="1" t="s">
        <v>49</v>
      </c>
      <c r="G12" s="4" t="s">
        <v>50</v>
      </c>
      <c r="H12" s="4">
        <v>3000</v>
      </c>
      <c r="I12" s="2"/>
    </row>
    <row r="13" ht="12.800000000000001" customHeight="1">
      <c r="A13" s="4">
        <f t="shared" si="1"/>
        <v>12</v>
      </c>
      <c r="B13" s="4">
        <v>78545465</v>
      </c>
      <c r="C13" s="1" t="s">
        <v>51</v>
      </c>
      <c r="D13" s="1" t="s">
        <v>52</v>
      </c>
      <c r="E13" s="4">
        <v>6</v>
      </c>
      <c r="F13" s="1" t="s">
        <v>53</v>
      </c>
      <c r="G13" s="5">
        <v>11</v>
      </c>
      <c r="H13" s="4">
        <v>25000</v>
      </c>
      <c r="I13" s="2"/>
    </row>
    <row r="14" ht="12.800000000000001" customHeight="1">
      <c r="A14" s="4">
        <f t="shared" si="1"/>
        <v>13</v>
      </c>
      <c r="B14" s="4">
        <v>78545466</v>
      </c>
      <c r="C14" s="1" t="s">
        <v>54</v>
      </c>
      <c r="D14" s="1" t="s">
        <v>55</v>
      </c>
      <c r="E14" s="4">
        <v>24</v>
      </c>
      <c r="F14" s="1" t="s">
        <v>56</v>
      </c>
      <c r="G14" s="5">
        <v>11</v>
      </c>
      <c r="H14" s="4">
        <v>75000</v>
      </c>
      <c r="I14" s="2"/>
    </row>
    <row r="15" ht="12.800000000000001" customHeight="1">
      <c r="A15" s="4">
        <f t="shared" si="1"/>
        <v>14</v>
      </c>
      <c r="B15" s="4">
        <v>78545467</v>
      </c>
      <c r="C15" s="1" t="s">
        <v>57</v>
      </c>
      <c r="D15" s="1" t="s">
        <v>58</v>
      </c>
      <c r="E15" s="4">
        <v>6</v>
      </c>
      <c r="F15" s="1" t="s">
        <v>59</v>
      </c>
      <c r="G15" s="5">
        <v>6</v>
      </c>
      <c r="H15" s="4">
        <v>20000</v>
      </c>
      <c r="I15" s="2"/>
    </row>
    <row r="16" ht="12.800000000000001" customHeight="1">
      <c r="A16" s="4">
        <f t="shared" si="1"/>
        <v>15</v>
      </c>
      <c r="B16" s="4">
        <v>78545468</v>
      </c>
      <c r="C16" s="1" t="s">
        <v>60</v>
      </c>
      <c r="D16" s="1" t="s">
        <v>61</v>
      </c>
      <c r="E16" s="4">
        <v>250</v>
      </c>
      <c r="F16" s="1" t="s">
        <v>62</v>
      </c>
      <c r="G16" s="4" t="s">
        <v>63</v>
      </c>
      <c r="H16" s="5">
        <v>4000</v>
      </c>
      <c r="I16" s="2"/>
    </row>
    <row r="17" ht="12.800000000000001" customHeight="1">
      <c r="A17" s="4">
        <f t="shared" si="1"/>
        <v>16</v>
      </c>
      <c r="B17" s="4">
        <v>78545469</v>
      </c>
      <c r="C17" s="1" t="s">
        <v>64</v>
      </c>
      <c r="D17" s="1" t="s">
        <v>65</v>
      </c>
      <c r="E17" s="4">
        <v>250</v>
      </c>
      <c r="F17" s="1" t="s">
        <v>66</v>
      </c>
      <c r="G17" s="4" t="s">
        <v>67</v>
      </c>
      <c r="H17" s="5">
        <v>6000</v>
      </c>
      <c r="I17" s="2"/>
    </row>
    <row r="18" ht="12.800000000000001" customHeight="1">
      <c r="A18" s="4">
        <f t="shared" si="1"/>
        <v>17</v>
      </c>
      <c r="B18" s="4">
        <v>78545470</v>
      </c>
      <c r="C18" s="1" t="s">
        <v>68</v>
      </c>
      <c r="D18" s="1" t="s">
        <v>69</v>
      </c>
      <c r="E18" s="4">
        <v>250</v>
      </c>
      <c r="F18" s="1" t="s">
        <v>70</v>
      </c>
      <c r="G18" s="4" t="s">
        <v>71</v>
      </c>
      <c r="H18" s="5">
        <v>70000</v>
      </c>
      <c r="I18" s="2"/>
    </row>
    <row r="19" ht="12.800000000000001" customHeight="1">
      <c r="A19" s="4">
        <f t="shared" si="1"/>
        <v>18</v>
      </c>
      <c r="B19" s="4">
        <v>78545471</v>
      </c>
      <c r="C19" s="1" t="s">
        <v>72</v>
      </c>
      <c r="D19" s="1" t="s">
        <v>73</v>
      </c>
      <c r="E19" s="4">
        <v>50</v>
      </c>
      <c r="F19" s="1" t="s">
        <v>74</v>
      </c>
      <c r="G19" s="4" t="s">
        <v>75</v>
      </c>
      <c r="H19" s="5">
        <v>12000</v>
      </c>
      <c r="I19" s="2"/>
    </row>
    <row r="20" ht="12.800000000000001" customHeight="1">
      <c r="A20" s="4">
        <f t="shared" si="1"/>
        <v>19</v>
      </c>
      <c r="B20" s="4">
        <v>78545472</v>
      </c>
      <c r="C20" s="1" t="s">
        <v>76</v>
      </c>
      <c r="D20" s="2"/>
      <c r="E20" s="4">
        <v>1</v>
      </c>
      <c r="F20" s="1" t="s">
        <v>77</v>
      </c>
      <c r="G20" s="4" t="s">
        <v>78</v>
      </c>
      <c r="H20" s="5">
        <v>18000</v>
      </c>
      <c r="I20" s="2"/>
    </row>
    <row r="21" ht="12.75" customHeight="1"/>
  </sheetData>
  <autoFilter ref="A1:I20"/>
  <printOptions headings="0" gridLines="0"/>
  <pageMargins left="0.70074299999999989" right="0.70074299999999989" top="1.0518999999999998" bottom="1.0518999999999998" header="0.75192099999999984" footer="0.75192099999999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20" workbookViewId="0">
      <selection activeCell="B4" activeCellId="0" sqref="B4"/>
    </sheetView>
  </sheetViews>
  <sheetFormatPr defaultRowHeight="15"/>
  <cols>
    <col customWidth="1" min="1" max="1" width="4.1943999999999999"/>
    <col customWidth="1" min="2" max="2" width="13.6808"/>
    <col customWidth="1" min="3" max="3" width="6.5464000000000002"/>
    <col customWidth="1" min="4" max="4" width="12.9556"/>
    <col customWidth="1" min="5" max="5" width="18.267199999999999"/>
    <col customWidth="1" min="6" max="6" width="10.711399999999999"/>
    <col customWidth="1" min="7" max="7" width="18.659199999999998"/>
    <col customWidth="1" min="8" max="1021" width="13.455399999999999"/>
    <col customWidth="1" min="1022" max="1122" width="7.5263999999999998"/>
  </cols>
  <sheetData>
    <row r="1" ht="12.800000000000001" customHeight="1">
      <c r="A1" s="7" t="s">
        <v>79</v>
      </c>
      <c r="B1" s="4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ht="12.800000000000001" customHeight="1">
      <c r="A2" s="4">
        <v>1</v>
      </c>
      <c r="B2" s="4">
        <f>producto!A2</f>
        <v>1</v>
      </c>
      <c r="C2" s="8">
        <f t="shared" ref="C2:C20" ca="1" si="2">RANDBETWEEN(999,9999)</f>
        <v>5208</v>
      </c>
      <c r="D2" s="9">
        <v>46219</v>
      </c>
      <c r="E2" s="9">
        <v>46433</v>
      </c>
      <c r="F2" s="5">
        <v>20</v>
      </c>
      <c r="G2" s="4">
        <v>100000</v>
      </c>
    </row>
    <row r="3" ht="12.800000000000001" customHeight="1">
      <c r="A3" s="4">
        <f t="shared" ref="A3:A10" si="3">A2+1</f>
        <v>2</v>
      </c>
      <c r="B3" s="4">
        <v>1</v>
      </c>
      <c r="C3" s="8">
        <f t="shared" ca="1" si="2"/>
        <v>3803</v>
      </c>
      <c r="D3" s="9">
        <v>46220</v>
      </c>
      <c r="E3" s="9">
        <v>46428</v>
      </c>
      <c r="F3" s="5">
        <v>20</v>
      </c>
      <c r="G3" s="4">
        <v>1400</v>
      </c>
    </row>
    <row r="4" ht="12.800000000000001" customHeight="1">
      <c r="A4" s="4">
        <f t="shared" si="3"/>
        <v>3</v>
      </c>
      <c r="B4" s="4">
        <f>producto!A4</f>
        <v>3</v>
      </c>
      <c r="C4" s="8">
        <f t="shared" ca="1" si="2"/>
        <v>9994</v>
      </c>
      <c r="D4" s="9">
        <v>46221</v>
      </c>
      <c r="E4" s="9">
        <v>46435</v>
      </c>
      <c r="F4" s="5">
        <v>10</v>
      </c>
      <c r="G4" s="4">
        <v>200</v>
      </c>
    </row>
    <row r="5" ht="12.800000000000001" customHeight="1">
      <c r="A5" s="4">
        <f t="shared" si="3"/>
        <v>4</v>
      </c>
      <c r="B5" s="4">
        <f>producto!A5</f>
        <v>4</v>
      </c>
      <c r="C5" s="8">
        <f t="shared" ca="1" si="2"/>
        <v>4641</v>
      </c>
      <c r="D5" s="9">
        <v>46222</v>
      </c>
      <c r="E5" s="9">
        <v>46436</v>
      </c>
      <c r="F5" s="5">
        <v>5</v>
      </c>
      <c r="G5" s="4">
        <v>5000</v>
      </c>
    </row>
    <row r="6" ht="12.800000000000001" customHeight="1">
      <c r="A6" s="4">
        <f t="shared" si="3"/>
        <v>5</v>
      </c>
      <c r="B6" s="4">
        <f>producto!A6</f>
        <v>5</v>
      </c>
      <c r="C6" s="8">
        <f t="shared" ca="1" si="2"/>
        <v>2774</v>
      </c>
      <c r="D6" s="9">
        <v>46223</v>
      </c>
      <c r="E6" s="9">
        <v>46437</v>
      </c>
      <c r="F6" s="5">
        <v>12</v>
      </c>
      <c r="G6" s="4">
        <v>2500</v>
      </c>
    </row>
    <row r="7" ht="12.800000000000001" customHeight="1">
      <c r="A7" s="4">
        <f t="shared" si="3"/>
        <v>6</v>
      </c>
      <c r="B7" s="4">
        <f>producto!A7</f>
        <v>6</v>
      </c>
      <c r="C7" s="8">
        <f t="shared" ca="1" si="2"/>
        <v>7757</v>
      </c>
      <c r="D7" s="9">
        <v>46224</v>
      </c>
      <c r="E7" s="9">
        <v>46438</v>
      </c>
      <c r="F7" s="5">
        <v>10</v>
      </c>
      <c r="G7" s="4">
        <v>4500</v>
      </c>
    </row>
    <row r="8" ht="12.800000000000001" customHeight="1">
      <c r="A8" s="4">
        <f t="shared" si="3"/>
        <v>7</v>
      </c>
      <c r="B8" s="4">
        <f>producto!A7</f>
        <v>6</v>
      </c>
      <c r="C8" s="8">
        <f t="shared" ca="1" si="2"/>
        <v>9099</v>
      </c>
      <c r="D8" s="9">
        <v>46225</v>
      </c>
      <c r="E8" s="9">
        <v>46439</v>
      </c>
      <c r="F8" s="5">
        <v>10</v>
      </c>
      <c r="G8" s="4">
        <v>8500</v>
      </c>
    </row>
    <row r="9" ht="12.800000000000001" customHeight="1">
      <c r="A9" s="4">
        <f t="shared" si="3"/>
        <v>8</v>
      </c>
      <c r="B9" s="4">
        <f>producto!A9</f>
        <v>8</v>
      </c>
      <c r="C9" s="8">
        <f t="shared" ca="1" si="2"/>
        <v>4686</v>
      </c>
      <c r="D9" s="9">
        <v>46226</v>
      </c>
      <c r="E9" s="9">
        <v>46440</v>
      </c>
      <c r="F9" s="5">
        <v>30</v>
      </c>
      <c r="G9" s="4">
        <v>4000</v>
      </c>
    </row>
    <row r="10" ht="12.800000000000001" customHeight="1">
      <c r="A10" s="4">
        <f t="shared" si="3"/>
        <v>9</v>
      </c>
      <c r="B10" s="4">
        <f>producto!A10</f>
        <v>9</v>
      </c>
      <c r="C10" s="8">
        <f t="shared" ca="1" si="2"/>
        <v>2757</v>
      </c>
      <c r="D10" s="9">
        <v>46227</v>
      </c>
      <c r="E10" s="9">
        <v>46441</v>
      </c>
      <c r="F10" s="5">
        <v>14</v>
      </c>
      <c r="G10" s="4">
        <v>13500</v>
      </c>
    </row>
    <row r="11" ht="12.800000000000001" customHeight="1">
      <c r="A11" s="4">
        <f t="shared" ref="A11:A21" si="4">A10+1</f>
        <v>10</v>
      </c>
      <c r="B11" s="4">
        <f>producto!A12</f>
        <v>11</v>
      </c>
      <c r="C11" s="8">
        <f t="shared" ca="1" si="2"/>
        <v>3038</v>
      </c>
      <c r="D11" s="9">
        <v>46228</v>
      </c>
      <c r="E11" s="9">
        <v>46442</v>
      </c>
      <c r="F11" s="5">
        <v>54</v>
      </c>
      <c r="G11" s="4">
        <v>26000</v>
      </c>
    </row>
    <row r="12" ht="12.800000000000001" customHeight="1">
      <c r="A12" s="4">
        <f t="shared" si="4"/>
        <v>11</v>
      </c>
      <c r="B12" s="4">
        <f>producto!A12</f>
        <v>11</v>
      </c>
      <c r="C12" s="8">
        <f t="shared" ca="1" si="2"/>
        <v>9553</v>
      </c>
      <c r="D12" s="9">
        <v>46229</v>
      </c>
      <c r="E12" s="9">
        <v>46443</v>
      </c>
      <c r="F12" s="5">
        <v>10</v>
      </c>
      <c r="G12" s="4">
        <v>3000</v>
      </c>
    </row>
    <row r="13" ht="12.800000000000001" customHeight="1">
      <c r="A13" s="4">
        <f t="shared" si="4"/>
        <v>12</v>
      </c>
      <c r="B13" s="4">
        <f>producto!A13</f>
        <v>12</v>
      </c>
      <c r="C13" s="8">
        <f t="shared" ca="1" si="2"/>
        <v>3148</v>
      </c>
      <c r="D13" s="9">
        <v>46230</v>
      </c>
      <c r="E13" s="9">
        <v>46444</v>
      </c>
      <c r="F13" s="5">
        <v>30</v>
      </c>
      <c r="G13" s="4">
        <v>25000</v>
      </c>
    </row>
    <row r="14" ht="12.800000000000001" customHeight="1">
      <c r="A14" s="4">
        <f t="shared" si="4"/>
        <v>13</v>
      </c>
      <c r="B14" s="4">
        <f>producto!A14</f>
        <v>13</v>
      </c>
      <c r="C14" s="8">
        <f t="shared" ca="1" si="2"/>
        <v>5716</v>
      </c>
      <c r="D14" s="9">
        <v>46231</v>
      </c>
      <c r="E14" s="9">
        <v>46445</v>
      </c>
      <c r="F14" s="5">
        <v>15</v>
      </c>
      <c r="G14" s="4">
        <v>75000</v>
      </c>
    </row>
    <row r="15" ht="12.800000000000001" customHeight="1">
      <c r="A15" s="4">
        <f t="shared" si="4"/>
        <v>14</v>
      </c>
      <c r="B15" s="4">
        <f>producto!A15</f>
        <v>14</v>
      </c>
      <c r="C15" s="8">
        <f t="shared" ca="1" si="2"/>
        <v>3352</v>
      </c>
      <c r="D15" s="9">
        <v>46232</v>
      </c>
      <c r="E15" s="9">
        <v>46446</v>
      </c>
      <c r="F15" s="5">
        <v>5</v>
      </c>
      <c r="G15" s="4">
        <v>13000</v>
      </c>
    </row>
    <row r="16" ht="12.800000000000001" customHeight="1">
      <c r="A16" s="4">
        <f t="shared" si="4"/>
        <v>15</v>
      </c>
      <c r="B16" s="4">
        <f>producto!A2</f>
        <v>1</v>
      </c>
      <c r="C16" s="8">
        <f t="shared" ca="1" si="2"/>
        <v>3682</v>
      </c>
      <c r="D16" s="9">
        <v>46233</v>
      </c>
      <c r="E16" s="9">
        <v>46082</v>
      </c>
      <c r="F16" s="5">
        <v>5</v>
      </c>
      <c r="G16" s="4"/>
    </row>
    <row r="17" ht="12.800000000000001" customHeight="1">
      <c r="A17" s="4">
        <f t="shared" si="4"/>
        <v>16</v>
      </c>
      <c r="B17" s="4">
        <f>producto!A18</f>
        <v>17</v>
      </c>
      <c r="C17" s="8">
        <f t="shared" ca="1" si="2"/>
        <v>1425</v>
      </c>
      <c r="D17" s="9">
        <v>46234</v>
      </c>
      <c r="E17" s="9">
        <v>46448</v>
      </c>
      <c r="F17" s="5">
        <v>5</v>
      </c>
      <c r="G17" s="4"/>
    </row>
    <row r="18" ht="12.800000000000001" customHeight="1">
      <c r="A18" s="4">
        <f t="shared" si="4"/>
        <v>17</v>
      </c>
      <c r="B18" s="4">
        <f>producto!A18</f>
        <v>17</v>
      </c>
      <c r="C18" s="8">
        <f t="shared" ca="1" si="2"/>
        <v>1705</v>
      </c>
      <c r="D18" s="9">
        <v>46235</v>
      </c>
      <c r="E18" s="9">
        <v>46449</v>
      </c>
      <c r="F18" s="5">
        <v>5</v>
      </c>
      <c r="G18" s="4"/>
    </row>
    <row r="19" ht="12.800000000000001" customHeight="1">
      <c r="A19" s="4">
        <f t="shared" si="4"/>
        <v>18</v>
      </c>
      <c r="B19" s="4">
        <f>producto!A19</f>
        <v>18</v>
      </c>
      <c r="C19" s="8">
        <f t="shared" ca="1" si="2"/>
        <v>7333</v>
      </c>
      <c r="D19" s="9">
        <v>46236</v>
      </c>
      <c r="E19" s="9">
        <v>46450</v>
      </c>
      <c r="F19" s="5">
        <v>6</v>
      </c>
      <c r="G19" s="4"/>
    </row>
    <row r="20" ht="12.800000000000001" customHeight="1">
      <c r="A20" s="4">
        <f t="shared" si="4"/>
        <v>19</v>
      </c>
      <c r="B20" s="4">
        <f>producto!A20</f>
        <v>19</v>
      </c>
      <c r="C20" s="8">
        <f t="shared" ca="1" si="2"/>
        <v>4778</v>
      </c>
      <c r="D20" s="9">
        <v>46237</v>
      </c>
      <c r="E20" s="9">
        <v>46247</v>
      </c>
      <c r="F20" s="5">
        <v>20</v>
      </c>
      <c r="G20" s="4">
        <v>15000</v>
      </c>
    </row>
    <row r="21" ht="12.75" customHeight="1">
      <c r="A21" s="4">
        <f t="shared" si="4"/>
        <v>20</v>
      </c>
      <c r="B21" s="4">
        <v>1</v>
      </c>
      <c r="C21" s="8">
        <f>C3</f>
        <v>3803</v>
      </c>
      <c r="D21" s="9">
        <v>46220</v>
      </c>
      <c r="E21" s="9">
        <v>46428</v>
      </c>
      <c r="F21" s="5">
        <v>-2</v>
      </c>
      <c r="G21" s="4">
        <v>-3000</v>
      </c>
    </row>
    <row r="22" ht="12.75" customHeight="1"/>
  </sheetData>
  <autoFilter ref="A1:G20"/>
  <printOptions headings="0" gridLines="0"/>
  <pageMargins left="0.70074299999999989" right="0.70074299999999989" top="1.0518999999999998" bottom="1.0518999999999998" header="0.75192099999999984" footer="0.75192099999999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20" workbookViewId="0">
      <selection activeCell="F1" activeCellId="0" sqref="F1"/>
    </sheetView>
  </sheetViews>
  <sheetFormatPr defaultRowHeight="15"/>
  <cols>
    <col customWidth="1" min="1" max="1" width="4.421875"/>
    <col customWidth="1" min="2" max="2" width="11.2308"/>
    <col customWidth="1" min="3" max="5" width="9.2609999999999992"/>
    <col customWidth="1" min="6" max="6" width="14.945"/>
    <col customWidth="1" min="7" max="1024" width="14.690200000000001"/>
    <col customWidth="1" min="1025" max="1125" width="7.5263999999999998"/>
  </cols>
  <sheetData>
    <row r="1" ht="12.800000000000001" customHeight="1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</row>
    <row r="2" ht="12.800000000000001" customHeight="1">
      <c r="A2" s="4">
        <v>1</v>
      </c>
      <c r="B2" s="4">
        <v>1</v>
      </c>
      <c r="C2" s="4">
        <v>50000</v>
      </c>
      <c r="D2" s="10">
        <v>46023</v>
      </c>
      <c r="E2" s="11">
        <v>0.25</v>
      </c>
      <c r="F2" s="4" t="s">
        <v>92</v>
      </c>
    </row>
    <row r="3" ht="12.800000000000001" customHeight="1">
      <c r="A3" s="4">
        <f>A2+1</f>
        <v>2</v>
      </c>
      <c r="B3" s="4" t="s">
        <v>93</v>
      </c>
      <c r="C3" s="2"/>
      <c r="D3" s="2"/>
      <c r="E3" s="2"/>
      <c r="F3" s="4" t="s">
        <v>94</v>
      </c>
    </row>
    <row r="4" ht="12.800000000000001" customHeight="1">
      <c r="A4" s="4">
        <v>3</v>
      </c>
      <c r="B4" s="2">
        <v>2</v>
      </c>
      <c r="C4" s="2">
        <v>70000</v>
      </c>
      <c r="D4" s="2"/>
      <c r="E4" s="2"/>
      <c r="F4" s="4" t="s">
        <v>95</v>
      </c>
    </row>
    <row r="5" ht="12.800000000000001" customHeight="1">
      <c r="A5" s="4"/>
      <c r="B5" s="2"/>
      <c r="C5" s="2"/>
      <c r="D5" s="2"/>
      <c r="E5" s="2"/>
      <c r="F5" s="4" t="s">
        <v>96</v>
      </c>
    </row>
    <row r="6" ht="12.35" customHeight="1">
      <c r="A6" s="4"/>
      <c r="B6" s="2"/>
      <c r="C6" s="2"/>
      <c r="D6" s="2"/>
      <c r="E6" s="2"/>
      <c r="F6" s="2" t="s">
        <v>97</v>
      </c>
    </row>
    <row r="7" ht="14.949999999999999" customHeight="1">
      <c r="A7" s="2"/>
      <c r="B7" s="2"/>
      <c r="C7" s="2"/>
      <c r="D7" s="2"/>
      <c r="E7" s="2"/>
      <c r="F7" s="2"/>
    </row>
    <row r="8" ht="14.949999999999999" customHeight="1">
      <c r="A8" s="2"/>
      <c r="B8" s="2"/>
      <c r="C8" s="2"/>
      <c r="D8" s="2"/>
      <c r="E8" s="2"/>
      <c r="F8" s="2"/>
    </row>
    <row r="9" ht="14.949999999999999" customHeight="1">
      <c r="A9" s="2"/>
      <c r="B9" s="2"/>
      <c r="C9" s="2"/>
      <c r="D9" s="2"/>
      <c r="E9" s="2"/>
      <c r="F9" s="2"/>
    </row>
    <row r="10" ht="14.949999999999999" customHeight="1">
      <c r="A10" s="2"/>
      <c r="B10" s="2"/>
      <c r="C10" s="2"/>
      <c r="D10" s="2"/>
      <c r="E10" s="2"/>
      <c r="F10" s="2"/>
    </row>
    <row r="11" ht="14.949999999999999" customHeight="1">
      <c r="A11" s="2"/>
      <c r="B11" s="2"/>
      <c r="C11" s="2"/>
      <c r="D11" s="2"/>
      <c r="E11" s="2"/>
      <c r="F11" s="2"/>
    </row>
    <row r="12" ht="14.949999999999999" customHeight="1">
      <c r="A12" s="2"/>
      <c r="B12" s="2"/>
      <c r="C12" s="2"/>
      <c r="D12" s="2"/>
      <c r="E12" s="2"/>
      <c r="F12" s="2"/>
    </row>
    <row r="13" ht="14.949999999999999" customHeight="1">
      <c r="A13" s="2"/>
      <c r="B13" s="2"/>
      <c r="C13" s="2"/>
      <c r="D13" s="2"/>
      <c r="E13" s="2"/>
      <c r="F13" s="2"/>
    </row>
    <row r="14" ht="14.949999999999999" customHeight="1">
      <c r="A14" s="2"/>
      <c r="B14" s="2"/>
      <c r="C14" s="2"/>
      <c r="D14" s="2"/>
      <c r="E14" s="2"/>
      <c r="F14" s="2"/>
    </row>
    <row r="15" ht="14.949999999999999" customHeight="1">
      <c r="A15" s="2"/>
      <c r="B15" s="2"/>
      <c r="C15" s="2"/>
      <c r="D15" s="2"/>
      <c r="E15" s="2"/>
      <c r="F15" s="2"/>
    </row>
    <row r="16" ht="14.949999999999999" customHeight="1">
      <c r="A16" s="2"/>
      <c r="B16" s="2"/>
      <c r="C16" s="2"/>
      <c r="D16" s="2"/>
      <c r="E16" s="2"/>
      <c r="F16" s="2"/>
    </row>
    <row r="17" ht="14.949999999999999" customHeight="1">
      <c r="A17" s="2"/>
      <c r="B17" s="2"/>
      <c r="C17" s="2"/>
      <c r="D17" s="2"/>
      <c r="E17" s="2"/>
      <c r="F17" s="2"/>
    </row>
    <row r="18" ht="14.949999999999999" customHeight="1">
      <c r="A18" s="2"/>
      <c r="B18" s="2"/>
      <c r="C18" s="2"/>
      <c r="D18" s="2"/>
      <c r="E18" s="2"/>
      <c r="F18" s="2"/>
    </row>
    <row r="19" ht="14.949999999999999" customHeight="1">
      <c r="A19" s="2"/>
      <c r="B19" s="2"/>
      <c r="C19" s="2"/>
      <c r="D19" s="2"/>
      <c r="E19" s="2"/>
      <c r="F19" s="2"/>
    </row>
    <row r="20" ht="14.949999999999999" customHeight="1">
      <c r="A20" s="2"/>
      <c r="B20" s="2"/>
      <c r="C20" s="2"/>
      <c r="D20" s="2"/>
      <c r="E20" s="2"/>
      <c r="F20" s="2"/>
    </row>
    <row r="21" ht="14.949999999999999" customHeight="1"/>
  </sheetData>
  <autoFilter ref="A1:F6"/>
  <printOptions headings="0" gridLines="0"/>
  <pageMargins left="0.70074299999999989" right="0.70074299999999989" top="1.0518999999999998" bottom="1.0518999999999998" header="0.75192099999999984" footer="0.75192099999999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20" workbookViewId="0">
      <selection activeCell="C3" activeCellId="0" sqref="C3"/>
    </sheetView>
  </sheetViews>
  <sheetFormatPr defaultRowHeight="12.75"/>
  <cols>
    <col customWidth="1" min="1" max="1" width="9.2609999999999992"/>
    <col customWidth="1" min="2" max="2" width="11.1328"/>
    <col customWidth="1" min="3" max="4" width="11.730600000000001"/>
    <col customWidth="1" min="5" max="1024" width="9.2609999999999992"/>
    <col customWidth="1" min="1025" max="1125" width="7.5263999999999998"/>
  </cols>
  <sheetData>
    <row r="1" ht="12.800000000000001" customHeight="1">
      <c r="A1" s="4" t="s">
        <v>98</v>
      </c>
      <c r="B1" s="4" t="s">
        <v>99</v>
      </c>
      <c r="C1" s="4" t="s">
        <v>100</v>
      </c>
      <c r="D1" s="4" t="s">
        <v>101</v>
      </c>
    </row>
    <row r="2" ht="12.800000000000001" customHeight="1">
      <c r="A2" s="4">
        <v>1</v>
      </c>
      <c r="B2" s="4">
        <v>1</v>
      </c>
      <c r="C2" s="4">
        <v>2</v>
      </c>
      <c r="D2" s="2"/>
    </row>
    <row r="3" ht="12.800000000000001" customHeight="1">
      <c r="A3" s="4">
        <v>1</v>
      </c>
      <c r="B3" s="4">
        <v>4</v>
      </c>
      <c r="C3" s="4">
        <v>5</v>
      </c>
      <c r="D3" s="2"/>
    </row>
    <row r="4" ht="12.800000000000001" customHeight="1">
      <c r="A4" s="4">
        <v>1</v>
      </c>
      <c r="B4" s="4">
        <v>3</v>
      </c>
      <c r="C4" s="4">
        <v>7</v>
      </c>
      <c r="D4" s="2"/>
    </row>
    <row r="5" ht="12.800000000000001" customHeight="1">
      <c r="A5" s="4">
        <v>1</v>
      </c>
      <c r="B5" s="4">
        <v>2</v>
      </c>
      <c r="C5" s="4">
        <v>1</v>
      </c>
      <c r="D5" s="2"/>
    </row>
    <row r="6" ht="12.75" customHeight="1">
      <c r="A6" s="2">
        <v>2</v>
      </c>
      <c r="B6" s="2"/>
      <c r="C6" s="2"/>
      <c r="D6" s="2"/>
    </row>
    <row r="7" ht="12.75" customHeight="1">
      <c r="A7" s="2">
        <v>3</v>
      </c>
      <c r="B7" s="2">
        <v>2</v>
      </c>
      <c r="C7" s="2">
        <v>1</v>
      </c>
      <c r="D7" s="2">
        <v>1400</v>
      </c>
    </row>
    <row r="8" ht="12.75" customHeight="1">
      <c r="A8" s="2">
        <v>3</v>
      </c>
      <c r="B8" s="2">
        <v>1</v>
      </c>
      <c r="C8" s="2">
        <v>1</v>
      </c>
      <c r="D8" s="2"/>
    </row>
    <row r="9" ht="12.75" customHeight="1">
      <c r="A9" s="2">
        <v>3</v>
      </c>
      <c r="B9" s="2">
        <v>11</v>
      </c>
      <c r="C9" s="2">
        <v>1</v>
      </c>
      <c r="D9" s="2"/>
    </row>
    <row r="10" ht="12.75" customHeight="1">
      <c r="A10" s="2">
        <v>3</v>
      </c>
      <c r="B10" s="2">
        <v>19</v>
      </c>
      <c r="C10" s="2">
        <v>5</v>
      </c>
      <c r="D10" s="2"/>
    </row>
    <row r="11" ht="12.75" customHeight="1">
      <c r="A11" s="2"/>
      <c r="B11" s="2"/>
      <c r="C11" s="2"/>
      <c r="D11" s="2"/>
    </row>
    <row r="12" ht="12.75" customHeight="1">
      <c r="A12" s="2"/>
      <c r="B12" s="2"/>
      <c r="C12" s="2"/>
      <c r="D12" s="2"/>
    </row>
    <row r="13" ht="12.75" customHeight="1">
      <c r="A13" s="2"/>
      <c r="B13" s="2"/>
      <c r="C13" s="2"/>
      <c r="D13" s="2"/>
    </row>
    <row r="14" ht="12.75" customHeight="1">
      <c r="A14" s="2"/>
      <c r="B14" s="2"/>
      <c r="C14" s="2"/>
      <c r="D14" s="2"/>
    </row>
    <row r="15" ht="12.75" customHeight="1">
      <c r="A15" s="2"/>
      <c r="B15" s="2"/>
      <c r="C15" s="2"/>
      <c r="D15" s="2"/>
    </row>
    <row r="16" ht="12.75" customHeight="1">
      <c r="A16" s="2"/>
      <c r="B16" s="2"/>
      <c r="C16" s="2"/>
      <c r="D16" s="2"/>
    </row>
    <row r="17" ht="12.75" customHeight="1">
      <c r="A17" s="2"/>
      <c r="B17" s="2"/>
      <c r="C17" s="2"/>
      <c r="D17" s="2"/>
    </row>
    <row r="18" ht="12.75" customHeight="1">
      <c r="A18" s="2"/>
      <c r="B18" s="2"/>
      <c r="C18" s="2"/>
      <c r="D18" s="2"/>
    </row>
    <row r="19" ht="12.75" customHeight="1">
      <c r="A19" s="2"/>
      <c r="B19" s="2"/>
      <c r="C19" s="2"/>
      <c r="D19" s="2"/>
    </row>
    <row r="20" ht="12.75" customHeight="1">
      <c r="A20" s="2"/>
      <c r="B20" s="2"/>
      <c r="C20" s="2"/>
      <c r="D20" s="2"/>
    </row>
    <row r="21" ht="12.75" customHeight="1"/>
  </sheetData>
  <printOptions headings="0" gridLines="0"/>
  <pageMargins left="0.70074299999999989" right="0.70074299999999989" top="1.0518999999999998" bottom="1.0518999999999998" header="0.75192099999999984" footer="0.75192099999999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20" workbookViewId="0">
      <selection activeCell="F1" activeCellId="0" sqref="F1"/>
    </sheetView>
  </sheetViews>
  <sheetFormatPr defaultRowHeight="15"/>
  <cols>
    <col customWidth="1" min="1" max="1" width="3.7240000000000002"/>
    <col customWidth="1" min="2" max="3" width="9.2609999999999992"/>
    <col customWidth="1" min="4" max="4" width="13.573"/>
    <col customWidth="1" min="5" max="5" width="14.28125"/>
    <col customWidth="1" min="6" max="1024" width="9.2609999999999992"/>
    <col customWidth="1" min="1025" max="1125" width="7.5263999999999998"/>
  </cols>
  <sheetData>
    <row r="1" ht="12.800000000000001" customHeight="1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  <c r="F1" s="4" t="s">
        <v>107</v>
      </c>
    </row>
    <row r="2" ht="12.800000000000001" customHeight="1">
      <c r="A2" s="4">
        <v>1</v>
      </c>
      <c r="B2" s="4" t="s">
        <v>108</v>
      </c>
      <c r="C2" s="2">
        <v>10000000</v>
      </c>
      <c r="D2" s="12" t="s">
        <v>109</v>
      </c>
      <c r="E2" s="2">
        <v>3552277777</v>
      </c>
      <c r="F2" s="2">
        <v>70000</v>
      </c>
    </row>
    <row r="3" ht="12.800000000000001" customHeight="1">
      <c r="A3" s="4">
        <f>A2+1</f>
        <v>2</v>
      </c>
      <c r="B3" s="4" t="s">
        <v>110</v>
      </c>
      <c r="C3" s="2">
        <v>12555555</v>
      </c>
      <c r="D3" s="12" t="s">
        <v>111</v>
      </c>
      <c r="E3" s="2">
        <v>3225448454</v>
      </c>
      <c r="F3" s="2">
        <v>55000</v>
      </c>
    </row>
    <row r="4" ht="14.949999999999999" customHeight="1">
      <c r="A4" s="4"/>
      <c r="B4" s="2"/>
      <c r="C4" s="2"/>
      <c r="D4" s="2"/>
      <c r="E4" s="2"/>
      <c r="F4" s="2"/>
    </row>
    <row r="5" ht="14.949999999999999" customHeight="1">
      <c r="A5" s="2"/>
      <c r="B5" s="2"/>
      <c r="C5" s="2"/>
      <c r="D5" s="2"/>
      <c r="E5" s="2"/>
      <c r="F5" s="2"/>
    </row>
    <row r="6" ht="14.949999999999999" customHeight="1">
      <c r="A6" s="2"/>
      <c r="B6" s="2"/>
      <c r="C6" s="2"/>
      <c r="D6" s="2"/>
      <c r="E6" s="2"/>
      <c r="F6" s="2"/>
    </row>
    <row r="7" ht="14.949999999999999" customHeight="1">
      <c r="A7" s="2"/>
      <c r="B7" s="2"/>
      <c r="C7" s="2"/>
      <c r="D7" s="2"/>
      <c r="E7" s="2"/>
      <c r="F7" s="2"/>
    </row>
    <row r="8" ht="14.949999999999999" customHeight="1">
      <c r="A8" s="2"/>
      <c r="B8" s="2"/>
      <c r="C8" s="2"/>
      <c r="D8" s="2"/>
      <c r="E8" s="2"/>
      <c r="F8" s="2"/>
    </row>
    <row r="9" ht="14.949999999999999" customHeight="1">
      <c r="A9" s="2"/>
      <c r="B9" s="2"/>
      <c r="C9" s="2"/>
      <c r="D9" s="2"/>
      <c r="E9" s="2"/>
      <c r="F9" s="2"/>
    </row>
    <row r="10" ht="14.949999999999999" customHeight="1">
      <c r="A10" s="2"/>
      <c r="B10" s="2"/>
      <c r="C10" s="2"/>
      <c r="D10" s="2"/>
      <c r="E10" s="2"/>
      <c r="F10" s="2"/>
    </row>
    <row r="11" ht="14.949999999999999" customHeight="1">
      <c r="A11" s="2"/>
      <c r="B11" s="2"/>
      <c r="C11" s="2"/>
      <c r="D11" s="2"/>
      <c r="E11" s="2"/>
      <c r="F11" s="2"/>
    </row>
    <row r="12" ht="14.949999999999999" customHeight="1">
      <c r="A12" s="2"/>
      <c r="B12" s="2"/>
      <c r="C12" s="2"/>
      <c r="D12" s="2"/>
      <c r="E12" s="2"/>
      <c r="F12" s="2"/>
    </row>
    <row r="13" ht="14.949999999999999" customHeight="1">
      <c r="A13" s="2"/>
      <c r="B13" s="2"/>
      <c r="C13" s="2"/>
      <c r="D13" s="2"/>
      <c r="E13" s="2"/>
      <c r="F13" s="2"/>
    </row>
    <row r="14" ht="14.949999999999999" customHeight="1">
      <c r="A14" s="2"/>
      <c r="B14" s="2"/>
      <c r="C14" s="2"/>
      <c r="D14" s="2"/>
      <c r="E14" s="2"/>
      <c r="F14" s="2"/>
    </row>
    <row r="15" ht="14.949999999999999" customHeight="1">
      <c r="A15" s="2"/>
      <c r="B15" s="2"/>
      <c r="C15" s="2"/>
      <c r="D15" s="2"/>
      <c r="E15" s="2"/>
      <c r="F15" s="2"/>
    </row>
    <row r="16" ht="14.949999999999999" customHeight="1">
      <c r="A16" s="2"/>
      <c r="B16" s="2"/>
      <c r="C16" s="2"/>
      <c r="D16" s="2"/>
      <c r="E16" s="2"/>
      <c r="F16" s="2"/>
    </row>
    <row r="17" ht="14.949999999999999" customHeight="1">
      <c r="A17" s="2"/>
      <c r="B17" s="2"/>
      <c r="C17" s="2"/>
      <c r="D17" s="2"/>
      <c r="E17" s="2"/>
      <c r="F17" s="2"/>
    </row>
    <row r="18" ht="14.949999999999999" customHeight="1">
      <c r="A18" s="2"/>
      <c r="B18" s="2"/>
      <c r="C18" s="2"/>
      <c r="D18" s="2"/>
      <c r="E18" s="2"/>
      <c r="F18" s="2"/>
    </row>
    <row r="19" ht="14.949999999999999" customHeight="1">
      <c r="A19" s="2"/>
      <c r="B19" s="2"/>
      <c r="C19" s="2"/>
      <c r="D19" s="2"/>
      <c r="E19" s="2"/>
      <c r="F19" s="2"/>
    </row>
    <row r="20" ht="14.949999999999999" customHeight="1">
      <c r="A20" s="2"/>
      <c r="B20" s="2"/>
      <c r="C20" s="2"/>
      <c r="D20" s="2"/>
      <c r="E20" s="2"/>
      <c r="F20" s="2"/>
    </row>
    <row r="21" ht="14.949999999999999" customHeight="1"/>
  </sheetData>
  <hyperlinks>
    <hyperlink r:id="rId1" ref="D2"/>
    <hyperlink r:id="rId2" ref="D3"/>
  </hyperlinks>
  <printOptions headings="0" gridLines="0"/>
  <pageMargins left="0.70074299999999989" right="0.70074299999999989" top="1.0518999999999998" bottom="1.0518999999999998" header="0.75192099999999984" footer="0.75192099999999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20" workbookViewId="0">
      <selection activeCell="I11" activeCellId="0" sqref="I11"/>
    </sheetView>
  </sheetViews>
  <sheetFormatPr defaultRowHeight="15"/>
  <cols>
    <col customWidth="1" min="1" max="4" width="9.2609999999999992"/>
    <col customWidth="1" min="5" max="5" width="14.945"/>
    <col customWidth="1" min="6" max="1024" width="9.2609999999999992"/>
    <col customWidth="1" min="1025" max="1125" width="7.5263999999999998"/>
  </cols>
  <sheetData>
    <row r="1" ht="12.800000000000001" customHeight="1">
      <c r="A1" s="4" t="s">
        <v>112</v>
      </c>
      <c r="B1" s="4" t="s">
        <v>113</v>
      </c>
      <c r="C1" s="4" t="s">
        <v>114</v>
      </c>
      <c r="D1" s="4" t="s">
        <v>115</v>
      </c>
      <c r="E1" s="4" t="s">
        <v>116</v>
      </c>
    </row>
    <row r="2" ht="12.800000000000001" customHeight="1">
      <c r="A2" s="4">
        <v>1</v>
      </c>
      <c r="B2" s="4">
        <v>3</v>
      </c>
      <c r="C2" s="2">
        <v>3</v>
      </c>
      <c r="D2" s="2">
        <v>-70000</v>
      </c>
      <c r="E2" s="4" t="s">
        <v>117</v>
      </c>
    </row>
    <row r="3" ht="12.800000000000001" customHeight="1">
      <c r="A3" s="4">
        <f>A2+1</f>
        <v>2</v>
      </c>
      <c r="B3" s="4"/>
      <c r="C3" s="2"/>
      <c r="D3" s="2"/>
      <c r="E3" s="4" t="s">
        <v>118</v>
      </c>
    </row>
    <row r="4" ht="12.75" customHeight="1">
      <c r="A4" s="4">
        <v>3</v>
      </c>
      <c r="B4" s="2">
        <v>3</v>
      </c>
      <c r="C4" s="2">
        <v>3</v>
      </c>
      <c r="D4" s="2">
        <v>15000</v>
      </c>
      <c r="E4" s="4" t="s">
        <v>119</v>
      </c>
    </row>
    <row r="5" ht="12.75" customHeight="1">
      <c r="A5" s="2"/>
      <c r="B5" s="2"/>
      <c r="C5" s="2"/>
      <c r="D5" s="2"/>
      <c r="E5" s="4" t="s">
        <v>120</v>
      </c>
    </row>
    <row r="6" ht="12.75" customHeight="1">
      <c r="A6" s="2"/>
      <c r="B6" s="2"/>
      <c r="C6" s="2"/>
      <c r="D6" s="2"/>
      <c r="E6" s="2" t="s">
        <v>121</v>
      </c>
    </row>
    <row r="7" ht="12.75" customHeight="1">
      <c r="A7" s="2"/>
      <c r="B7" s="2"/>
      <c r="C7" s="2"/>
      <c r="D7" s="2"/>
      <c r="E7" s="2"/>
    </row>
    <row r="8" ht="12.75" customHeight="1">
      <c r="A8" s="2"/>
      <c r="B8" s="2"/>
      <c r="C8" s="2"/>
      <c r="D8" s="2"/>
      <c r="E8" s="2"/>
    </row>
    <row r="9" ht="12.75" customHeight="1">
      <c r="A9" s="2"/>
      <c r="B9" s="2"/>
      <c r="C9" s="2"/>
      <c r="D9" s="2"/>
      <c r="E9" s="2"/>
    </row>
    <row r="10" ht="12.75" customHeight="1">
      <c r="A10" s="2"/>
      <c r="B10" s="2"/>
      <c r="C10" s="2"/>
      <c r="D10" s="2"/>
      <c r="E10" s="2"/>
    </row>
    <row r="11" ht="12.75" customHeight="1">
      <c r="A11" s="2"/>
      <c r="B11" s="2"/>
      <c r="C11" s="2"/>
      <c r="D11" s="2"/>
      <c r="E11" s="2"/>
    </row>
    <row r="12" ht="12.75" customHeight="1">
      <c r="A12" s="2"/>
      <c r="B12" s="2"/>
      <c r="C12" s="2"/>
      <c r="D12" s="2"/>
      <c r="E12" s="2"/>
    </row>
    <row r="13" ht="12.75" customHeight="1">
      <c r="A13" s="2"/>
      <c r="B13" s="2"/>
      <c r="C13" s="2"/>
      <c r="D13" s="2"/>
      <c r="E13" s="2"/>
    </row>
    <row r="14" ht="12.75" customHeight="1">
      <c r="A14" s="2"/>
      <c r="B14" s="2"/>
      <c r="C14" s="2"/>
      <c r="D14" s="2"/>
      <c r="E14" s="2"/>
    </row>
    <row r="15" ht="12.75" customHeight="1">
      <c r="A15" s="2"/>
      <c r="B15" s="2"/>
      <c r="C15" s="2"/>
      <c r="D15" s="2"/>
      <c r="E15" s="2"/>
    </row>
    <row r="16" ht="12.75" customHeight="1">
      <c r="A16" s="2"/>
      <c r="B16" s="2"/>
      <c r="C16" s="2"/>
      <c r="D16" s="2"/>
      <c r="E16" s="2"/>
    </row>
    <row r="17" ht="12.75" customHeight="1">
      <c r="A17" s="2"/>
      <c r="B17" s="2"/>
      <c r="C17" s="2"/>
      <c r="D17" s="2"/>
      <c r="E17" s="2"/>
    </row>
    <row r="18" ht="12.75" customHeight="1">
      <c r="A18" s="2"/>
      <c r="B18" s="2"/>
      <c r="C18" s="2"/>
      <c r="D18" s="2"/>
      <c r="E18" s="2"/>
    </row>
    <row r="19" ht="12.75" customHeight="1">
      <c r="A19" s="2"/>
      <c r="B19" s="2"/>
      <c r="C19" s="2"/>
      <c r="D19" s="2"/>
      <c r="E19" s="2"/>
    </row>
    <row r="20" ht="12.75" customHeight="1">
      <c r="A20" s="2"/>
      <c r="B20" s="2"/>
      <c r="C20" s="2"/>
      <c r="D20" s="2"/>
      <c r="E20" s="2"/>
    </row>
    <row r="21" ht="12.75" customHeight="1"/>
  </sheetData>
  <printOptions headings="0" gridLines="0"/>
  <pageMargins left="0.70074299999999989" right="0.70074299999999989" top="1.0518999999999998" bottom="1.0518999999999998" header="0.75192099999999984" footer="0.75192099999999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2026-08-23T16:58:52Z</dcterms:modified>
</cp:coreProperties>
</file>